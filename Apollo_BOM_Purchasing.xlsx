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ollo 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<sst xmlns="http://schemas.openxmlformats.org/spreadsheetml/2006/main" count="377" uniqueCount="231">
  <si>
    <t xml:space="preserve">#</t>
  </si>
  <si>
    <t xml:space="preserve">Subsystem</t>
  </si>
  <si>
    <t xml:space="preserve">Component</t>
  </si>
  <si>
    <t xml:space="preserve">Specification</t>
  </si>
  <si>
    <t xml:space="preserve">Phase</t>
  </si>
  <si>
    <t xml:space="preserve">Est. Price</t>
  </si>
  <si>
    <t xml:space="preserve">Status</t>
  </si>
  <si>
    <t xml:space="preserve">Purchase Link</t>
  </si>
  <si>
    <t xml:space="preserve">Retailer</t>
  </si>
  <si>
    <t xml:space="preserve">Notes</t>
  </si>
  <si>
    <t xml:space="preserve">Phase 1 — Voice Loop MVP (Pi 5 as temp-Core)</t>
  </si>
  <si>
    <t xml:space="preserve">  CYBERDECK</t>
  </si>
  <si>
    <t xml:space="preserve">Cyberdeck</t>
  </si>
  <si>
    <t xml:space="preserve">Raspberry Pi 5 (8GB)</t>
  </si>
  <si>
    <t xml:space="preserve">BCM2712 Quad A76 @ 2.4GHz, 8GB LPDDR4X</t>
  </si>
  <si>
    <t xml:space="preserve">Phase 1</t>
  </si>
  <si>
    <t xml:space="preserve">OWNED</t>
  </si>
  <si>
    <t xml:space="preserve">—</t>
  </si>
  <si>
    <t xml:space="preserve">Already owned. No purchase needed.</t>
  </si>
  <si>
    <t xml:space="preserve">Pi 5 Active Cooler</t>
  </si>
  <si>
    <t xml:space="preserve">Official Raspberry Pi Active Cooler</t>
  </si>
  <si>
    <t xml:space="preserve">Owned and installed. Using stock Pi 5 housing (no separate case needed).</t>
  </si>
  <si>
    <t xml:space="preserve">NVMe SSD 256GB</t>
  </si>
  <si>
    <t xml:space="preserve">M.2 2230 or 2242 NVMe PCIe Gen 3/4</t>
  </si>
  <si>
    <t xml:space="preserve">Ordered</t>
  </si>
  <si>
    <t xml:space="preserve">https://www.amazon.com/dp/B09QX5SG6W</t>
  </si>
  <si>
    <t xml:space="preserve">Amazon</t>
  </si>
  <si>
    <t xml:space="preserve">WD SN740 2230 or Kingston NV2 2242. Check M.2 HAT compatibility.</t>
  </si>
  <si>
    <t xml:space="preserve">M.2 HAT for Pi 5</t>
  </si>
  <si>
    <t xml:space="preserve">Pimoroni NVMe Base / Geekworm X1001 / Official Pi M.2 HAT+</t>
  </si>
  <si>
    <t xml:space="preserve">https://www.amazon.com/dp/B0CSX2B7ZL</t>
  </si>
  <si>
    <t xml:space="preserve">Geekworm X1001 or Pimoroni NVMe Base. Confirm 2230/2242 slot.</t>
  </si>
  <si>
    <t xml:space="preserve">USB Microphone (fallback)</t>
  </si>
  <si>
    <t xml:space="preserve">USB condenser mic (mini lavalier or conference puck)</t>
  </si>
  <si>
    <t xml:space="preserve">https://www.amazon.com/dp/B09BRGXQ85</t>
  </si>
  <si>
    <t xml:space="preserve">Audio FALLBACK — Halo mics are primary. Still needed for Cyberdeck-only mode.</t>
  </si>
  <si>
    <t xml:space="preserve">Mic Dampening Enclosure</t>
  </si>
  <si>
    <t xml:space="preserve">Foam / rubber isolation mount</t>
  </si>
  <si>
    <t xml:space="preserve">Bypass with full length lavalier</t>
  </si>
  <si>
    <t xml:space="preserve">https://www.amazon.com/dp/B07Y8C4FMS</t>
  </si>
  <si>
    <t xml:space="preserve">Generic foam windscreen + rubber isolator. May DIY.</t>
  </si>
  <si>
    <t xml:space="preserve">Speaker (3.5mm, fallback)</t>
  </si>
  <si>
    <t xml:space="preserve">3W-5W external speaker, 3.5mm jack</t>
  </si>
  <si>
    <t xml:space="preserve">Owned</t>
  </si>
  <si>
    <t xml:space="preserve">https://www.amazon.com/dp/B07YJGSF63</t>
  </si>
  <si>
    <t xml:space="preserve">Audio FALLBACK — Halo bone conduction is primary.</t>
  </si>
  <si>
    <t xml:space="preserve">Power Bank 20,000mAh</t>
  </si>
  <si>
    <t xml:space="preserve">USB-C PD power bank</t>
  </si>
  <si>
    <t xml:space="preserve">https://www.amazon.com/dp/B09VPHFD2F</t>
  </si>
  <si>
    <t xml:space="preserve">Anker 325/537 or Baseus. USB-C PD required.</t>
  </si>
  <si>
    <t xml:space="preserve">MicroSD 32GB (backup boot)</t>
  </si>
  <si>
    <t xml:space="preserve">Samsung EVO Select or SanDisk Ultra</t>
  </si>
  <si>
    <t xml:space="preserve">https://www.amazon.com/dp/B09B1HMJ9Z</t>
  </si>
  <si>
    <t xml:space="preserve">Fallback boot if NVMe issues.</t>
  </si>
  <si>
    <t xml:space="preserve">Micro-HDMI to HDMI Adapter</t>
  </si>
  <si>
    <t xml:space="preserve">Micro-HDMI male to HDMI female</t>
  </si>
  <si>
    <t xml:space="preserve">https://www.amazon.com/dp/B09LYPRMCX</t>
  </si>
  <si>
    <t xml:space="preserve">For initial headless setup / debug.</t>
  </si>
  <si>
    <t xml:space="preserve">USB-C Cables (x2)</t>
  </si>
  <si>
    <t xml:space="preserve">USB-C to USB-C, 1ft and 3ft</t>
  </si>
  <si>
    <t xml:space="preserve">https://www.amazon.com/dp/B093GLW93Q</t>
  </si>
  <si>
    <t xml:space="preserve">Power + data. Short for power bank.</t>
  </si>
  <si>
    <t xml:space="preserve">USB BLE 5.0 Dongle  ⭐NEW</t>
  </si>
  <si>
    <t xml:space="preserve">USB-A Bluetooth 5.0 adapter (CSR8510 or Realtek RTL8761B)</t>
  </si>
  <si>
    <t xml:space="preserve">https://www.amazon.com/dp/B09DTH7VSB</t>
  </si>
  <si>
    <t xml:space="preserve">SESSION 6 FIX — Pi 5 onboard WiFi+BLE shared antenna breaks under load. Mandatory for BLE ring + Halo when Pi 5 acts as temp-Core. Migrates to A9 Max in Phase 4.</t>
  </si>
  <si>
    <t xml:space="preserve">USB-A to USB-C Cable 3ft  ⭐NEW</t>
  </si>
  <si>
    <t xml:space="preserve">USB-A 3.0 to USB-C data cable</t>
  </si>
  <si>
    <t xml:space="preserve">https://www.amazon.com/dp/B0BYPKJH2G</t>
  </si>
  <si>
    <t xml:space="preserve">SESSION 6 — Wired primary link for Core↔Cyberdeck (dual-mode). Also used for Phase 1 bring-up.</t>
  </si>
  <si>
    <t xml:space="preserve">  GLASSES  (Halo-based MVP)</t>
  </si>
  <si>
    <t xml:space="preserve">Glasses</t>
  </si>
  <si>
    <t xml:space="preserve">Brilliant Labs Halo  ⭐NEW</t>
  </si>
  <si>
    <t xml:space="preserve">Open-source smart glasses, 640x400 color microOLED, Lua SDK, bone conduction, mics, BLE</t>
  </si>
  <si>
    <t xml:space="preserve">https://brilliant.xyz/products/halo</t>
  </si>
  <si>
    <t xml:space="preserve">Brilliant Labs</t>
  </si>
  <si>
    <t xml:space="preserve">SESSION 5/6 — Interim Glasses replacing custom DIY build. Direct BLE to Core/Pi 5. Primary audio I/O.</t>
  </si>
  <si>
    <t xml:space="preserve">XIAO ESP32-S3 Sense  ⭐NEW</t>
  </si>
  <si>
    <t xml:space="preserve">ESP32-S3 + OV2640 camera + mic, 21x17.5mm, WiFi+BLE</t>
  </si>
  <si>
    <t xml:space="preserve">https://www.seeedstudio.com/XIAO-ESP32S3-Sense-p-5639.html</t>
  </si>
  <si>
    <t xml:space="preserve">Seeed Studio</t>
  </si>
  <si>
    <t xml:space="preserve">SESSION 5/6 — Clip-on still camera for Imager pipeline. Halo has no camera.</t>
  </si>
  <si>
    <t xml:space="preserve">XIAO Clip/Lanyard Mount  ⭐NEW</t>
  </si>
  <si>
    <t xml:space="preserve">3D print or repurposed clip-on mount</t>
  </si>
  <si>
    <t xml:space="preserve">Buy</t>
  </si>
  <si>
    <t xml:space="preserve">DIY / 3D Print</t>
  </si>
  <si>
    <t xml:space="preserve">Chest, collar, or hat-clip mount for XIAO. Print file TBD.</t>
  </si>
  <si>
    <t xml:space="preserve">ESP32 Dev Board (BLE Ring)</t>
  </si>
  <si>
    <t xml:space="preserve">ESP32-WROOM-32 DevKit V1</t>
  </si>
  <si>
    <t xml:space="preserve">https://www.amazon.com/dp/B08D5ZD528</t>
  </si>
  <si>
    <t xml:space="preserve">Breadboard BLE ring MVP. Retained from Session 3 plan.</t>
  </si>
  <si>
    <t xml:space="preserve">Tactile Button + Breadboard + Wires</t>
  </si>
  <si>
    <t xml:space="preserve">Push button, mini breadboard, jumper wires</t>
  </si>
  <si>
    <t xml:space="preserve">https://www.amazon.com/dp/B01EV6LJ7G</t>
  </si>
  <si>
    <t xml:space="preserve">BLE ring prototype kit.</t>
  </si>
  <si>
    <t xml:space="preserve">Phase 2 — Cyberdeck display + privacy</t>
  </si>
  <si>
    <t xml:space="preserve">7" Touchscreen</t>
  </si>
  <si>
    <t xml:space="preserve">1024x600 capacitive (Waveshare) or 800x480 (Official Pi)</t>
  </si>
  <si>
    <t xml:space="preserve">Phase 2</t>
  </si>
  <si>
    <t xml:space="preserve">https://www.amazon.com/dp/B085NH3GMD</t>
  </si>
  <si>
    <t xml:space="preserve">Waveshare 7" HDMI LCD (H) recommended. Confirm touch via USB.</t>
  </si>
  <si>
    <t xml:space="preserve">LiPo Battery + USB-C PD Board  ⭐NEW</t>
  </si>
  <si>
    <t xml:space="preserve">3.7V 5000mAh LiPo + TP4056/PD trigger board</t>
  </si>
  <si>
    <t xml:space="preserve">https://www.amazon.com/dp/B0C5Z7Y4B2</t>
  </si>
  <si>
    <t xml:space="preserve">SESSION 6 — Small battery for Cyberdeck wireless-mode operation when detached from Core USB link.</t>
  </si>
  <si>
    <t xml:space="preserve">Misc Cables (Phase 2)</t>
  </si>
  <si>
    <t xml:space="preserve">HDMI cable, USB extension, zip ties, standoffs</t>
  </si>
  <si>
    <t xml:space="preserve">https://www.amazon.com/dp/B07GD3R2XQ</t>
  </si>
  <si>
    <t xml:space="preserve">Assorted cables/connectors for layout.</t>
  </si>
  <si>
    <t xml:space="preserve">  GLASSES</t>
  </si>
  <si>
    <t xml:space="preserve">IR-Blocking Clip-On Lenses  ⭐NEW</t>
  </si>
  <si>
    <t xml:space="preserve">IR-blocking polycarbonate clip-on sunglasses</t>
  </si>
  <si>
    <t xml:space="preserve">https://www.amazon.com/dp/B08KSHVF5J</t>
  </si>
  <si>
    <t xml:space="preserve">SESSION 6 — Privacy MVP. Passive defense against IR surveillance (3D mapping, iris scan). Clips onto Halo frame.</t>
  </si>
  <si>
    <t xml:space="preserve">Phase 4 — Apollo Core deployment</t>
  </si>
  <si>
    <t xml:space="preserve">  CORE</t>
  </si>
  <si>
    <t xml:space="preserve">Core</t>
  </si>
  <si>
    <t xml:space="preserve">GEEKOM A9 Max</t>
  </si>
  <si>
    <t xml:space="preserve">Ryzen AI 9 HX 370 (Zen 5, 12c/24t, 50 TOPS NPU), 32GB DDR5, 1TB NVMe, WiFi 7, BT 5.4</t>
  </si>
  <si>
    <t xml:space="preserve">Phase 4</t>
  </si>
  <si>
    <t xml:space="preserve">https://www.amazon.com/dp/B0GLF2KYKN</t>
  </si>
  <si>
    <t xml:space="preserve">Base config — RAM upgrade below.</t>
  </si>
  <si>
    <t xml:space="preserve">DDR5 SODIMM 64GB Kit</t>
  </si>
  <si>
    <t xml:space="preserve">2x32GB DDR5-5600 SODIMM (Crucial or Kingston)</t>
  </si>
  <si>
    <t xml:space="preserve">https://www.amazon.com/dp/B0C7THYZSL</t>
  </si>
  <si>
    <t xml:space="preserve">Crucial CT2K32G56C46S5. Replaces stock 32GB. Sell the stock kit.</t>
  </si>
  <si>
    <t xml:space="preserve">USB BLE 5.0 Dongle (Core)  ⭐NEW</t>
  </si>
  <si>
    <t xml:space="preserve">Second USB-A BT 5.0 adapter for A9 Max</t>
  </si>
  <si>
    <t xml:space="preserve">SESSION 6 — Core has BT 5.4 onboard but dedicated USB dongle preferred for Halo direct-BLE reliability. Or migrate the Phase 1 dongle.</t>
  </si>
  <si>
    <t xml:space="preserve">Ventilated Field Case (fanny-pack)</t>
  </si>
  <si>
    <t xml:space="preserve">Pelican-style small hard case, ~200x200x100mm</t>
  </si>
  <si>
    <t xml:space="preserve">https://www.amazon.com/dp/B07GCKM3MQ</t>
  </si>
  <si>
    <t xml:space="preserve">SESSION 6 — Full rear-facing exhaust surface. Apache 2800 or similar. Cut large vent on rear-facing side.</t>
  </si>
  <si>
    <t xml:space="preserve">USB Cooling Fan 92mm</t>
  </si>
  <si>
    <t xml:space="preserve">92mm USB-powered fan for case ventilation</t>
  </si>
  <si>
    <t xml:space="preserve">https://www.amazon.com/dp/B00G059G86</t>
  </si>
  <si>
    <t xml:space="preserve">AC Infinity or ELUTENG. Rear exhaust.</t>
  </si>
  <si>
    <t xml:space="preserve">Phase — Optional / Future</t>
  </si>
  <si>
    <t xml:space="preserve">  OPTIONAL</t>
  </si>
  <si>
    <t xml:space="preserve">Optional</t>
  </si>
  <si>
    <t xml:space="preserve">USB LTE Dongle</t>
  </si>
  <si>
    <t xml:space="preserve">USB cellular modem (e.g. Huawei E3372h)</t>
  </si>
  <si>
    <t xml:space="preserve">Later</t>
  </si>
  <si>
    <t xml:space="preserve">https://www.amazon.com/dp/B01N5ASNTE</t>
  </si>
  <si>
    <t xml:space="preserve">Requires SIM + data plan. Independent internet.</t>
  </si>
  <si>
    <t xml:space="preserve">Portable Power Station</t>
  </si>
  <si>
    <t xml:space="preserve">Omnicharge Omni 20+ or similar</t>
  </si>
  <si>
    <t xml:space="preserve">https://www.amazon.com/dp/B0C2FHMPV6</t>
  </si>
  <si>
    <t xml:space="preserve">Field/mobile Core operation. 1-3hr runtime under load.</t>
  </si>
  <si>
    <t xml:space="preserve">Even Realities G2 (reference)  ⭐NEW</t>
  </si>
  <si>
    <t xml:space="preserve">Waveguide HUD, 36g, dual-channel BLE, monochrome green micro-LED</t>
  </si>
  <si>
    <t xml:space="preserve">https://www.evenrealities.com/g2</t>
  </si>
  <si>
    <t xml:space="preserve">Even Realities</t>
  </si>
  <si>
    <t xml:space="preserve">SESSION 6 — Reference design for post-Halo custom wired glasses. Revisit G2 optics + protocol docs when designing custom build.</t>
  </si>
  <si>
    <t xml:space="preserve">Archived — Custom Glasses Reference Build (post-Halo custom design)</t>
  </si>
  <si>
    <t xml:space="preserve">  ARCHIVED  (do not purchase for MVP)</t>
  </si>
  <si>
    <t xml:space="preserve">A1</t>
  </si>
  <si>
    <t xml:space="preserve">Archived</t>
  </si>
  <si>
    <t xml:space="preserve">Raspberry Pi Zero 2 W</t>
  </si>
  <si>
    <t xml:space="preserve">Quad-core A53 @ 1GHz, 512MB, WiFi, BLE 4.2</t>
  </si>
  <si>
    <t xml:space="preserve">HOLD</t>
  </si>
  <si>
    <t xml:space="preserve">https://www.pishop.us/product/raspberry-pi-zero-2-w/</t>
  </si>
  <si>
    <t xml:space="preserve">PiShop.us</t>
  </si>
  <si>
    <t xml:space="preserve">Original custom glasses compute. Reference only.</t>
  </si>
  <si>
    <t xml:space="preserve">A2</t>
  </si>
  <si>
    <t xml:space="preserve">Pi Camera Module 3</t>
  </si>
  <si>
    <t xml:space="preserve">Sony IMX708 12MP, PDAF, 66° H-FOV</t>
  </si>
  <si>
    <t xml:space="preserve">https://www.adafruit.com/product/5657</t>
  </si>
  <si>
    <t xml:space="preserve">Adafruit</t>
  </si>
  <si>
    <t xml:space="preserve">Replaced by XIAO ESP32-S3 Sense clip-on.</t>
  </si>
  <si>
    <t xml:space="preserve">A3</t>
  </si>
  <si>
    <t xml:space="preserve">CSI Adapter Cable</t>
  </si>
  <si>
    <t xml:space="preserve">Pi Zero mini CSI to 15-pin CSI ribbon</t>
  </si>
  <si>
    <t xml:space="preserve">https://www.adafruit.com/product/5765</t>
  </si>
  <si>
    <t xml:space="preserve">Pi Zero-specific.</t>
  </si>
  <si>
    <t xml:space="preserve">A4</t>
  </si>
  <si>
    <t xml:space="preserve">MicroSD 32GB (Pi Zero)</t>
  </si>
  <si>
    <t xml:space="preserve">Pi Zero boot card.</t>
  </si>
  <si>
    <t xml:space="preserve">A5</t>
  </si>
  <si>
    <t xml:space="preserve">USB Power Bank 5,000mAh</t>
  </si>
  <si>
    <t xml:space="preserve">Slim 5000mAh micro-USB bank</t>
  </si>
  <si>
    <t xml:space="preserve">https://www.amazon.com/dp/B0B4GQH6Z6</t>
  </si>
  <si>
    <t xml:space="preserve">Custom glasses power.</t>
  </si>
  <si>
    <t xml:space="preserve">A6</t>
  </si>
  <si>
    <t xml:space="preserve">USB Cable 30cm (Micro)</t>
  </si>
  <si>
    <t xml:space="preserve">Short micro-USB power cable</t>
  </si>
  <si>
    <t xml:space="preserve">https://www.amazon.com/dp/B0744BKDRD</t>
  </si>
  <si>
    <t xml:space="preserve">Frame routing.</t>
  </si>
  <si>
    <t xml:space="preserve">A7</t>
  </si>
  <si>
    <t xml:space="preserve">Goggle Frame / Housing</t>
  </si>
  <si>
    <t xml:space="preserve">Modified safety goggles or 3D print</t>
  </si>
  <si>
    <t xml:space="preserve">https://www.amazon.com/dp/B07S3DQZQW</t>
  </si>
  <si>
    <t xml:space="preserve">Custom frame. Replaced by Halo.</t>
  </si>
  <si>
    <t xml:space="preserve">A8</t>
  </si>
  <si>
    <t xml:space="preserve">SSD1306 0.96" OLED (I2C)</t>
  </si>
  <si>
    <t xml:space="preserve">128x64 monochrome OLED</t>
  </si>
  <si>
    <t xml:space="preserve">https://www.amazon.com/dp/B09T6SJBV5</t>
  </si>
  <si>
    <t xml:space="preserve">Replaced by Halo built-in display.</t>
  </si>
  <si>
    <t xml:space="preserve">A9</t>
  </si>
  <si>
    <t xml:space="preserve">Beam Splitter Prism</t>
  </si>
  <si>
    <t xml:space="preserve">50/50 semi-transparent ~25x25mm</t>
  </si>
  <si>
    <t xml:space="preserve">https://www.amazon.com/dp/B08LDC67NP</t>
  </si>
  <si>
    <t xml:space="preserve">Replaced by Halo optics.</t>
  </si>
  <si>
    <t xml:space="preserve">A10</t>
  </si>
  <si>
    <t xml:space="preserve">I2C Jumper Wires + Misc</t>
  </si>
  <si>
    <t xml:space="preserve">F-F jumpers, heat shrink, tape</t>
  </si>
  <si>
    <t xml:space="preserve">https://www.amazon.com/dp/B01EV70C78</t>
  </si>
  <si>
    <t xml:space="preserve">OLED wiring. Obsolete.</t>
  </si>
  <si>
    <t xml:space="preserve">A11</t>
  </si>
  <si>
    <t xml:space="preserve">Camera Module 3 Wide</t>
  </si>
  <si>
    <t xml:space="preserve">Pi Camera Module 3 Wide, wider FOV</t>
  </si>
  <si>
    <t xml:space="preserve">https://www.adafruit.com/product/5658</t>
  </si>
  <si>
    <t xml:space="preserve">Fallback camera for custom build.</t>
  </si>
  <si>
    <t xml:space="preserve">BUDGET SUMMARY</t>
  </si>
  <si>
    <t xml:space="preserve">Phase 1 — Cyberdeck</t>
  </si>
  <si>
    <t xml:space="preserve">Pi 5 temp-Core voice loop + BLE dongle + wired link prep</t>
  </si>
  <si>
    <t xml:space="preserve">Phase 1 — Glasses (Halo MVP)</t>
  </si>
  <si>
    <t xml:space="preserve">Halo + XIAO clip-on cam + BLE ring prototype</t>
  </si>
  <si>
    <t xml:space="preserve">Phase 2 — Cyberdeck</t>
  </si>
  <si>
    <t xml:space="preserve">Touchscreen + wireless-mode battery</t>
  </si>
  <si>
    <t xml:space="preserve">Phase 2 — Glasses</t>
  </si>
  <si>
    <t xml:space="preserve">Privacy MVP (IR-blocking lenses)</t>
  </si>
  <si>
    <t xml:space="preserve">Phase 4 — Core</t>
  </si>
  <si>
    <t xml:space="preserve">A9 Max + 64GB RAM + BLE dongle + field case</t>
  </si>
  <si>
    <t xml:space="preserve">Optional / Future</t>
  </si>
  <si>
    <t xml:space="preserve">LTE, power station, G2 reference</t>
  </si>
  <si>
    <t xml:space="preserve">Archived (reference only)</t>
  </si>
  <si>
    <t xml:space="preserve">Custom glasses reference build — NOT purchased for MVP</t>
  </si>
  <si>
    <t xml:space="preserve">GRAND TOTAL (MVP path: Phase 1-4, excl. Optional &amp; Archived)</t>
  </si>
  <si>
    <t xml:space="preserve">Budget ceiling: $2,000</t>
  </si>
  <si>
    <t xml:space="preserve">GRAND TOTAL (Including Optional)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</si>
</sst>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[RED]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E8F4E8"/>
        <bgColor rgb="FFF0F0F0"/>
      </patternFill>
    </fill>
    <fill>
      <patternFill patternType="solid">
        <fgColor rgb="FF4A90D9"/>
        <bgColor rgb="FF339966"/>
      </patternFill>
    </fill>
    <fill>
      <patternFill patternType="solid">
        <fgColor rgb="FFBDBDBD"/>
        <bgColor rgb="FFCCCCCC"/>
      </patternFill>
    </fill>
    <fill>
      <patternFill patternType="solid">
        <fgColor rgb="FFF0F0F0"/>
        <bgColor rgb="FFE8F4E8"/>
      </patternFill>
    </fill>
    <fill>
      <patternFill patternType="solid">
        <fgColor rgb="FFFFF3CD"/>
        <bgColor rgb="FFF0F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4" fillId="4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6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8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3CD"/>
      <rgbColor rgb="FFE8F4E8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CCFFCC"/>
      <rgbColor rgb="FFFFFF99"/>
      <rgbColor rgb="FF99CCFF"/>
      <rgbColor rgb="FFFF99CC"/>
      <rgbColor rgb="FFCC99FF"/>
      <rgbColor rgb="FFFFCC99"/>
      <rgbColor rgb="FF4A90D9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" activePane="bottomLeft" state="frozen"/>
      <selection pane="topLeft" activeCell="A1" activeCellId="0" sqref="A1"/>
      <selection pane="bottomLeft" activeCell="Q8" activeCellId="0" sqref="Q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4" min="4" style="1" width="36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55"/>
    <col collapsed="false" customWidth="true" hidden="false" outlineLevel="0" max="9" min="9" style="1" width="18"/>
    <col collapsed="false" customWidth="true" hidden="false" outlineLevel="0" max="10" min="10" style="1" width="38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9.5" hidden="false" customHeight="true" outlineLevel="0" collapsed="false">
      <c r="A2" s="3" t="s">
        <v>10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8" hidden="false" customHeight="true" outlineLevel="0" collapsed="false">
      <c r="A3" s="4" t="s">
        <v>11</v>
      </c>
      <c r="B3" s="4"/>
      <c r="C3" s="4"/>
      <c r="D3" s="4"/>
      <c r="E3" s="4"/>
      <c r="F3" s="4"/>
      <c r="G3" s="4"/>
      <c r="H3" s="4"/>
      <c r="I3" s="4"/>
      <c r="J3" s="4"/>
    </row>
    <row r="4" customFormat="false" ht="23.25" hidden="false" customHeight="true" outlineLevel="0" collapsed="false">
      <c r="A4" s="5" t="n">
        <v>1</v>
      </c>
      <c r="B4" s="6" t="s">
        <v>12</v>
      </c>
      <c r="C4" s="6" t="s">
        <v>13</v>
      </c>
      <c r="D4" s="6" t="s">
        <v>14</v>
      </c>
      <c r="E4" s="6" t="s">
        <v>15</v>
      </c>
      <c r="F4" s="7" t="n">
        <v>0</v>
      </c>
      <c r="G4" s="6" t="s">
        <v>16</v>
      </c>
      <c r="H4" s="6" t="s">
        <v>17</v>
      </c>
      <c r="I4" s="5"/>
      <c r="J4" s="6" t="s">
        <v>18</v>
      </c>
    </row>
    <row r="5" customFormat="false" ht="15" hidden="false" customHeight="true" outlineLevel="0" collapsed="false">
      <c r="A5" s="5" t="n">
        <v>2</v>
      </c>
      <c r="B5" s="6" t="s">
        <v>12</v>
      </c>
      <c r="C5" s="6" t="s">
        <v>19</v>
      </c>
      <c r="D5" s="6" t="s">
        <v>20</v>
      </c>
      <c r="E5" s="6" t="s">
        <v>15</v>
      </c>
      <c r="F5" s="7" t="n">
        <v>0</v>
      </c>
      <c r="G5" s="6" t="s">
        <v>16</v>
      </c>
      <c r="H5" s="6" t="s">
        <v>17</v>
      </c>
      <c r="I5" s="5"/>
      <c r="J5" s="6" t="s">
        <v>21</v>
      </c>
    </row>
    <row r="6" customFormat="false" ht="23.25" hidden="false" customHeight="true" outlineLevel="0" collapsed="false">
      <c r="A6" s="5" t="n">
        <v>3</v>
      </c>
      <c r="B6" s="6" t="s">
        <v>12</v>
      </c>
      <c r="C6" s="6" t="s">
        <v>22</v>
      </c>
      <c r="D6" s="6" t="s">
        <v>23</v>
      </c>
      <c r="E6" s="6" t="s">
        <v>15</v>
      </c>
      <c r="F6" s="7" t="n">
        <v>28</v>
      </c>
      <c r="G6" s="6" t="s">
        <v>24</v>
      </c>
      <c r="H6" s="6" t="s">
        <v>25</v>
      </c>
      <c r="I6" s="6" t="s">
        <v>26</v>
      </c>
      <c r="J6" s="6" t="s">
        <v>27</v>
      </c>
    </row>
    <row r="7" customFormat="false" ht="23.25" hidden="false" customHeight="true" outlineLevel="0" collapsed="false">
      <c r="A7" s="5" t="n">
        <v>4</v>
      </c>
      <c r="B7" s="6" t="s">
        <v>12</v>
      </c>
      <c r="C7" s="6" t="s">
        <v>28</v>
      </c>
      <c r="D7" s="6" t="s">
        <v>29</v>
      </c>
      <c r="E7" s="6" t="s">
        <v>15</v>
      </c>
      <c r="F7" s="7" t="n">
        <v>15</v>
      </c>
      <c r="G7" s="6" t="s">
        <v>24</v>
      </c>
      <c r="H7" s="6" t="s">
        <v>30</v>
      </c>
      <c r="I7" s="6" t="s">
        <v>26</v>
      </c>
      <c r="J7" s="6" t="s">
        <v>31</v>
      </c>
    </row>
    <row r="8" customFormat="false" ht="23.25" hidden="false" customHeight="true" outlineLevel="0" collapsed="false">
      <c r="A8" s="5" t="n">
        <v>5</v>
      </c>
      <c r="B8" s="6" t="s">
        <v>12</v>
      </c>
      <c r="C8" s="6" t="s">
        <v>32</v>
      </c>
      <c r="D8" s="6" t="s">
        <v>33</v>
      </c>
      <c r="E8" s="6" t="s">
        <v>15</v>
      </c>
      <c r="F8" s="7" t="n">
        <v>25</v>
      </c>
      <c r="G8" s="6" t="s">
        <v>24</v>
      </c>
      <c r="H8" s="6" t="s">
        <v>34</v>
      </c>
      <c r="I8" s="6" t="s">
        <v>26</v>
      </c>
      <c r="J8" s="6" t="s">
        <v>35</v>
      </c>
    </row>
    <row r="9" customFormat="false" ht="23.25" hidden="false" customHeight="true" outlineLevel="0" collapsed="false">
      <c r="A9" s="5" t="n">
        <v>6</v>
      </c>
      <c r="B9" s="6" t="s">
        <v>12</v>
      </c>
      <c r="C9" s="6" t="s">
        <v>36</v>
      </c>
      <c r="D9" s="6" t="s">
        <v>37</v>
      </c>
      <c r="E9" s="6" t="s">
        <v>15</v>
      </c>
      <c r="F9" s="7" t="n">
        <v>8</v>
      </c>
      <c r="G9" s="6" t="s">
        <v>38</v>
      </c>
      <c r="H9" s="6" t="s">
        <v>39</v>
      </c>
      <c r="I9" s="6" t="s">
        <v>26</v>
      </c>
      <c r="J9" s="6" t="s">
        <v>40</v>
      </c>
    </row>
    <row r="10" customFormat="false" ht="23.25" hidden="false" customHeight="true" outlineLevel="0" collapsed="false">
      <c r="A10" s="5" t="n">
        <v>7</v>
      </c>
      <c r="B10" s="6" t="s">
        <v>12</v>
      </c>
      <c r="C10" s="6" t="s">
        <v>41</v>
      </c>
      <c r="D10" s="6" t="s">
        <v>42</v>
      </c>
      <c r="E10" s="6" t="s">
        <v>15</v>
      </c>
      <c r="F10" s="7" t="n">
        <v>12</v>
      </c>
      <c r="G10" s="6" t="s">
        <v>43</v>
      </c>
      <c r="H10" s="6" t="s">
        <v>44</v>
      </c>
      <c r="I10" s="6" t="s">
        <v>26</v>
      </c>
      <c r="J10" s="6" t="s">
        <v>45</v>
      </c>
    </row>
    <row r="11" customFormat="false" ht="23.25" hidden="false" customHeight="true" outlineLevel="0" collapsed="false">
      <c r="A11" s="5" t="n">
        <v>8</v>
      </c>
      <c r="B11" s="6" t="s">
        <v>12</v>
      </c>
      <c r="C11" s="6" t="s">
        <v>46</v>
      </c>
      <c r="D11" s="6" t="s">
        <v>47</v>
      </c>
      <c r="E11" s="6" t="s">
        <v>15</v>
      </c>
      <c r="F11" s="7" t="n">
        <v>40</v>
      </c>
      <c r="G11" s="6" t="s">
        <v>24</v>
      </c>
      <c r="H11" s="6" t="s">
        <v>48</v>
      </c>
      <c r="I11" s="6" t="s">
        <v>26</v>
      </c>
      <c r="J11" s="6" t="s">
        <v>49</v>
      </c>
    </row>
    <row r="12" customFormat="false" ht="15" hidden="false" customHeight="true" outlineLevel="0" collapsed="false">
      <c r="A12" s="5" t="n">
        <v>9</v>
      </c>
      <c r="B12" s="6" t="s">
        <v>12</v>
      </c>
      <c r="C12" s="6" t="s">
        <v>50</v>
      </c>
      <c r="D12" s="6" t="s">
        <v>51</v>
      </c>
      <c r="E12" s="6" t="s">
        <v>15</v>
      </c>
      <c r="F12" s="7" t="n">
        <v>7</v>
      </c>
      <c r="G12" s="6" t="s">
        <v>24</v>
      </c>
      <c r="H12" s="6" t="s">
        <v>52</v>
      </c>
      <c r="I12" s="6" t="s">
        <v>26</v>
      </c>
      <c r="J12" s="6" t="s">
        <v>53</v>
      </c>
    </row>
    <row r="13" customFormat="false" ht="15" hidden="false" customHeight="true" outlineLevel="0" collapsed="false">
      <c r="A13" s="5" t="n">
        <v>10</v>
      </c>
      <c r="B13" s="6" t="s">
        <v>12</v>
      </c>
      <c r="C13" s="6" t="s">
        <v>54</v>
      </c>
      <c r="D13" s="6" t="s">
        <v>55</v>
      </c>
      <c r="E13" s="6" t="s">
        <v>15</v>
      </c>
      <c r="F13" s="7" t="n">
        <v>6</v>
      </c>
      <c r="G13" s="6" t="s">
        <v>24</v>
      </c>
      <c r="H13" s="6" t="s">
        <v>56</v>
      </c>
      <c r="I13" s="6" t="s">
        <v>26</v>
      </c>
      <c r="J13" s="6" t="s">
        <v>57</v>
      </c>
    </row>
    <row r="14" customFormat="false" ht="15" hidden="false" customHeight="true" outlineLevel="0" collapsed="false">
      <c r="A14" s="5" t="n">
        <v>11</v>
      </c>
      <c r="B14" s="6" t="s">
        <v>12</v>
      </c>
      <c r="C14" s="6" t="s">
        <v>58</v>
      </c>
      <c r="D14" s="6" t="s">
        <v>59</v>
      </c>
      <c r="E14" s="6" t="s">
        <v>15</v>
      </c>
      <c r="F14" s="7" t="n">
        <v>8</v>
      </c>
      <c r="G14" s="6" t="s">
        <v>24</v>
      </c>
      <c r="H14" s="6" t="s">
        <v>60</v>
      </c>
      <c r="I14" s="6" t="s">
        <v>26</v>
      </c>
      <c r="J14" s="6" t="s">
        <v>61</v>
      </c>
    </row>
    <row r="15" customFormat="false" ht="45.75" hidden="false" customHeight="true" outlineLevel="0" collapsed="false">
      <c r="A15" s="5" t="n">
        <v>12</v>
      </c>
      <c r="B15" s="6" t="s">
        <v>12</v>
      </c>
      <c r="C15" s="6" t="s">
        <v>62</v>
      </c>
      <c r="D15" s="6" t="s">
        <v>63</v>
      </c>
      <c r="E15" s="6" t="s">
        <v>15</v>
      </c>
      <c r="F15" s="7" t="n">
        <v>12</v>
      </c>
      <c r="G15" s="6" t="s">
        <v>24</v>
      </c>
      <c r="H15" s="6" t="s">
        <v>64</v>
      </c>
      <c r="I15" s="6" t="s">
        <v>26</v>
      </c>
      <c r="J15" s="6" t="s">
        <v>65</v>
      </c>
    </row>
    <row r="16" customFormat="false" ht="34.5" hidden="false" customHeight="true" outlineLevel="0" collapsed="false">
      <c r="A16" s="5" t="n">
        <v>13</v>
      </c>
      <c r="B16" s="6" t="s">
        <v>12</v>
      </c>
      <c r="C16" s="6" t="s">
        <v>66</v>
      </c>
      <c r="D16" s="6" t="s">
        <v>67</v>
      </c>
      <c r="E16" s="6" t="s">
        <v>15</v>
      </c>
      <c r="F16" s="7" t="n">
        <v>8</v>
      </c>
      <c r="G16" s="6" t="s">
        <v>24</v>
      </c>
      <c r="H16" s="6" t="s">
        <v>68</v>
      </c>
      <c r="I16" s="6" t="s">
        <v>26</v>
      </c>
      <c r="J16" s="6" t="s">
        <v>69</v>
      </c>
    </row>
    <row r="17" customFormat="false" ht="18" hidden="false" customHeight="true" outlineLevel="0" collapsed="false">
      <c r="A17" s="4" t="s">
        <v>70</v>
      </c>
      <c r="B17" s="4"/>
      <c r="C17" s="4"/>
      <c r="D17" s="4"/>
      <c r="E17" s="4"/>
      <c r="F17" s="4"/>
      <c r="G17" s="4"/>
      <c r="H17" s="4"/>
      <c r="I17" s="4"/>
      <c r="J17" s="4"/>
    </row>
    <row r="18" customFormat="false" ht="34.5" hidden="false" customHeight="true" outlineLevel="0" collapsed="false">
      <c r="A18" s="5" t="n">
        <v>14</v>
      </c>
      <c r="B18" s="6" t="s">
        <v>71</v>
      </c>
      <c r="C18" s="6" t="s">
        <v>72</v>
      </c>
      <c r="D18" s="6" t="s">
        <v>73</v>
      </c>
      <c r="E18" s="6" t="s">
        <v>15</v>
      </c>
      <c r="F18" s="7" t="n">
        <v>299</v>
      </c>
      <c r="G18" s="6" t="s">
        <v>24</v>
      </c>
      <c r="H18" s="6" t="s">
        <v>74</v>
      </c>
      <c r="I18" s="6" t="s">
        <v>75</v>
      </c>
      <c r="J18" s="6" t="s">
        <v>76</v>
      </c>
    </row>
    <row r="19" customFormat="false" ht="23.25" hidden="false" customHeight="true" outlineLevel="0" collapsed="false">
      <c r="A19" s="5" t="n">
        <v>15</v>
      </c>
      <c r="B19" s="6" t="s">
        <v>71</v>
      </c>
      <c r="C19" s="6" t="s">
        <v>77</v>
      </c>
      <c r="D19" s="6" t="s">
        <v>78</v>
      </c>
      <c r="E19" s="6" t="s">
        <v>15</v>
      </c>
      <c r="F19" s="7" t="n">
        <v>18</v>
      </c>
      <c r="G19" s="6" t="s">
        <v>24</v>
      </c>
      <c r="H19" s="6" t="s">
        <v>79</v>
      </c>
      <c r="I19" s="6" t="s">
        <v>80</v>
      </c>
      <c r="J19" s="6" t="s">
        <v>81</v>
      </c>
    </row>
    <row r="20" customFormat="false" ht="23.25" hidden="false" customHeight="true" outlineLevel="0" collapsed="false">
      <c r="A20" s="5" t="n">
        <v>16</v>
      </c>
      <c r="B20" s="6" t="s">
        <v>71</v>
      </c>
      <c r="C20" s="6" t="s">
        <v>82</v>
      </c>
      <c r="D20" s="6" t="s">
        <v>83</v>
      </c>
      <c r="E20" s="6" t="s">
        <v>15</v>
      </c>
      <c r="F20" s="7" t="n">
        <v>5</v>
      </c>
      <c r="G20" s="6" t="s">
        <v>84</v>
      </c>
      <c r="H20" s="6" t="s">
        <v>17</v>
      </c>
      <c r="I20" s="6" t="s">
        <v>85</v>
      </c>
      <c r="J20" s="6" t="s">
        <v>86</v>
      </c>
    </row>
    <row r="21" customFormat="false" ht="23.25" hidden="false" customHeight="true" outlineLevel="0" collapsed="false">
      <c r="A21" s="5" t="n">
        <v>17</v>
      </c>
      <c r="B21" s="6" t="s">
        <v>71</v>
      </c>
      <c r="C21" s="6" t="s">
        <v>87</v>
      </c>
      <c r="D21" s="6" t="s">
        <v>88</v>
      </c>
      <c r="E21" s="6" t="s">
        <v>15</v>
      </c>
      <c r="F21" s="7" t="n">
        <v>8</v>
      </c>
      <c r="G21" s="6" t="s">
        <v>24</v>
      </c>
      <c r="H21" s="6" t="s">
        <v>89</v>
      </c>
      <c r="I21" s="6" t="s">
        <v>26</v>
      </c>
      <c r="J21" s="6" t="s">
        <v>90</v>
      </c>
    </row>
    <row r="22" customFormat="false" ht="15" hidden="false" customHeight="true" outlineLevel="0" collapsed="false">
      <c r="A22" s="5" t="n">
        <v>18</v>
      </c>
      <c r="B22" s="6" t="s">
        <v>71</v>
      </c>
      <c r="C22" s="6" t="s">
        <v>91</v>
      </c>
      <c r="D22" s="6" t="s">
        <v>92</v>
      </c>
      <c r="E22" s="6" t="s">
        <v>15</v>
      </c>
      <c r="F22" s="7" t="n">
        <v>5</v>
      </c>
      <c r="G22" s="6" t="s">
        <v>43</v>
      </c>
      <c r="H22" s="6" t="s">
        <v>93</v>
      </c>
      <c r="I22" s="6" t="s">
        <v>26</v>
      </c>
      <c r="J22" s="6" t="s">
        <v>94</v>
      </c>
    </row>
    <row r="23" customFormat="false" ht="19.5" hidden="false" customHeight="true" outlineLevel="0" collapsed="false">
      <c r="A23" s="3" t="s">
        <v>95</v>
      </c>
      <c r="B23" s="3"/>
      <c r="C23" s="3"/>
      <c r="D23" s="3"/>
      <c r="E23" s="3"/>
      <c r="F23" s="3"/>
      <c r="G23" s="3"/>
      <c r="H23" s="3"/>
      <c r="I23" s="3"/>
      <c r="J23" s="3"/>
    </row>
    <row r="24" customFormat="false" ht="18" hidden="false" customHeight="true" outlineLevel="0" collapsed="false">
      <c r="A24" s="4" t="s">
        <v>11</v>
      </c>
      <c r="B24" s="4"/>
      <c r="C24" s="4"/>
      <c r="D24" s="4"/>
      <c r="E24" s="4"/>
      <c r="F24" s="4"/>
      <c r="G24" s="4"/>
      <c r="H24" s="4"/>
      <c r="I24" s="4"/>
      <c r="J24" s="4"/>
    </row>
    <row r="25" customFormat="false" ht="23.25" hidden="false" customHeight="true" outlineLevel="0" collapsed="false">
      <c r="A25" s="5" t="n">
        <v>19</v>
      </c>
      <c r="B25" s="6" t="s">
        <v>12</v>
      </c>
      <c r="C25" s="6" t="s">
        <v>96</v>
      </c>
      <c r="D25" s="6" t="s">
        <v>97</v>
      </c>
      <c r="E25" s="6" t="s">
        <v>98</v>
      </c>
      <c r="F25" s="7" t="n">
        <v>65</v>
      </c>
      <c r="G25" s="6" t="s">
        <v>84</v>
      </c>
      <c r="H25" s="6" t="s">
        <v>99</v>
      </c>
      <c r="I25" s="6" t="s">
        <v>26</v>
      </c>
      <c r="J25" s="6" t="s">
        <v>100</v>
      </c>
    </row>
    <row r="26" customFormat="false" ht="34.5" hidden="false" customHeight="true" outlineLevel="0" collapsed="false">
      <c r="A26" s="5" t="n">
        <v>20</v>
      </c>
      <c r="B26" s="6" t="s">
        <v>12</v>
      </c>
      <c r="C26" s="6" t="s">
        <v>101</v>
      </c>
      <c r="D26" s="6" t="s">
        <v>102</v>
      </c>
      <c r="E26" s="6" t="s">
        <v>98</v>
      </c>
      <c r="F26" s="7" t="n">
        <v>20</v>
      </c>
      <c r="G26" s="6" t="s">
        <v>84</v>
      </c>
      <c r="H26" s="6" t="s">
        <v>103</v>
      </c>
      <c r="I26" s="6" t="s">
        <v>26</v>
      </c>
      <c r="J26" s="6" t="s">
        <v>104</v>
      </c>
    </row>
    <row r="27" customFormat="false" ht="23.25" hidden="false" customHeight="true" outlineLevel="0" collapsed="false">
      <c r="A27" s="5" t="n">
        <v>21</v>
      </c>
      <c r="B27" s="6" t="s">
        <v>12</v>
      </c>
      <c r="C27" s="6" t="s">
        <v>105</v>
      </c>
      <c r="D27" s="6" t="s">
        <v>106</v>
      </c>
      <c r="E27" s="6" t="s">
        <v>98</v>
      </c>
      <c r="F27" s="7" t="n">
        <v>12</v>
      </c>
      <c r="G27" s="6" t="s">
        <v>84</v>
      </c>
      <c r="H27" s="6" t="s">
        <v>107</v>
      </c>
      <c r="I27" s="6" t="s">
        <v>26</v>
      </c>
      <c r="J27" s="6" t="s">
        <v>108</v>
      </c>
    </row>
    <row r="28" customFormat="false" ht="18" hidden="false" customHeight="true" outlineLevel="0" collapsed="false">
      <c r="A28" s="4" t="s">
        <v>109</v>
      </c>
      <c r="B28" s="4"/>
      <c r="C28" s="4"/>
      <c r="D28" s="4"/>
      <c r="E28" s="4"/>
      <c r="F28" s="4"/>
      <c r="G28" s="4"/>
      <c r="H28" s="4"/>
      <c r="I28" s="4"/>
      <c r="J28" s="4"/>
    </row>
    <row r="29" customFormat="false" ht="34.5" hidden="false" customHeight="true" outlineLevel="0" collapsed="false">
      <c r="A29" s="5" t="n">
        <v>22</v>
      </c>
      <c r="B29" s="6" t="s">
        <v>71</v>
      </c>
      <c r="C29" s="6" t="s">
        <v>110</v>
      </c>
      <c r="D29" s="6" t="s">
        <v>111</v>
      </c>
      <c r="E29" s="6" t="s">
        <v>98</v>
      </c>
      <c r="F29" s="7" t="n">
        <v>15</v>
      </c>
      <c r="G29" s="6" t="s">
        <v>84</v>
      </c>
      <c r="H29" s="6" t="s">
        <v>112</v>
      </c>
      <c r="I29" s="6" t="s">
        <v>26</v>
      </c>
      <c r="J29" s="6" t="s">
        <v>113</v>
      </c>
    </row>
    <row r="30" customFormat="false" ht="19.5" hidden="false" customHeight="true" outlineLevel="0" collapsed="false">
      <c r="A30" s="3" t="s">
        <v>114</v>
      </c>
      <c r="B30" s="3"/>
      <c r="C30" s="3"/>
      <c r="D30" s="3"/>
      <c r="E30" s="3"/>
      <c r="F30" s="3"/>
      <c r="G30" s="3"/>
      <c r="H30" s="3"/>
      <c r="I30" s="3"/>
      <c r="J30" s="3"/>
    </row>
    <row r="31" customFormat="false" ht="18" hidden="false" customHeight="true" outlineLevel="0" collapsed="false">
      <c r="A31" s="4" t="s">
        <v>115</v>
      </c>
      <c r="B31" s="4"/>
      <c r="C31" s="4"/>
      <c r="D31" s="4"/>
      <c r="E31" s="4"/>
      <c r="F31" s="4"/>
      <c r="G31" s="4"/>
      <c r="H31" s="4"/>
      <c r="I31" s="4"/>
      <c r="J31" s="4"/>
    </row>
    <row r="32" customFormat="false" ht="34.5" hidden="false" customHeight="true" outlineLevel="0" collapsed="false">
      <c r="A32" s="5" t="n">
        <v>23</v>
      </c>
      <c r="B32" s="6" t="s">
        <v>116</v>
      </c>
      <c r="C32" s="6" t="s">
        <v>117</v>
      </c>
      <c r="D32" s="6" t="s">
        <v>118</v>
      </c>
      <c r="E32" s="6" t="s">
        <v>119</v>
      </c>
      <c r="F32" s="7" t="n">
        <v>999</v>
      </c>
      <c r="G32" s="6" t="s">
        <v>84</v>
      </c>
      <c r="H32" s="6" t="s">
        <v>120</v>
      </c>
      <c r="I32" s="6" t="s">
        <v>26</v>
      </c>
      <c r="J32" s="6" t="s">
        <v>121</v>
      </c>
    </row>
    <row r="33" customFormat="false" ht="23.25" hidden="false" customHeight="true" outlineLevel="0" collapsed="false">
      <c r="A33" s="5" t="n">
        <v>24</v>
      </c>
      <c r="B33" s="6" t="s">
        <v>116</v>
      </c>
      <c r="C33" s="6" t="s">
        <v>122</v>
      </c>
      <c r="D33" s="6" t="s">
        <v>123</v>
      </c>
      <c r="E33" s="6" t="s">
        <v>119</v>
      </c>
      <c r="F33" s="7" t="n">
        <v>130</v>
      </c>
      <c r="G33" s="6" t="s">
        <v>84</v>
      </c>
      <c r="H33" s="6" t="s">
        <v>124</v>
      </c>
      <c r="I33" s="6" t="s">
        <v>26</v>
      </c>
      <c r="J33" s="6" t="s">
        <v>125</v>
      </c>
    </row>
    <row r="34" customFormat="false" ht="45.75" hidden="false" customHeight="true" outlineLevel="0" collapsed="false">
      <c r="A34" s="5" t="n">
        <v>25</v>
      </c>
      <c r="B34" s="6" t="s">
        <v>116</v>
      </c>
      <c r="C34" s="6" t="s">
        <v>126</v>
      </c>
      <c r="D34" s="6" t="s">
        <v>127</v>
      </c>
      <c r="E34" s="6" t="s">
        <v>119</v>
      </c>
      <c r="F34" s="7" t="n">
        <v>12</v>
      </c>
      <c r="G34" s="6" t="s">
        <v>84</v>
      </c>
      <c r="H34" s="6" t="s">
        <v>64</v>
      </c>
      <c r="I34" s="6" t="s">
        <v>26</v>
      </c>
      <c r="J34" s="6" t="s">
        <v>128</v>
      </c>
    </row>
    <row r="35" customFormat="false" ht="34.5" hidden="false" customHeight="true" outlineLevel="0" collapsed="false">
      <c r="A35" s="5" t="n">
        <v>26</v>
      </c>
      <c r="B35" s="6" t="s">
        <v>116</v>
      </c>
      <c r="C35" s="6" t="s">
        <v>129</v>
      </c>
      <c r="D35" s="6" t="s">
        <v>130</v>
      </c>
      <c r="E35" s="6" t="s">
        <v>119</v>
      </c>
      <c r="F35" s="7" t="n">
        <v>25</v>
      </c>
      <c r="G35" s="6" t="s">
        <v>84</v>
      </c>
      <c r="H35" s="6" t="s">
        <v>131</v>
      </c>
      <c r="I35" s="6" t="s">
        <v>26</v>
      </c>
      <c r="J35" s="6" t="s">
        <v>132</v>
      </c>
    </row>
    <row r="36" customFormat="false" ht="15" hidden="false" customHeight="true" outlineLevel="0" collapsed="false">
      <c r="A36" s="5" t="n">
        <v>27</v>
      </c>
      <c r="B36" s="6" t="s">
        <v>116</v>
      </c>
      <c r="C36" s="6" t="s">
        <v>133</v>
      </c>
      <c r="D36" s="6" t="s">
        <v>134</v>
      </c>
      <c r="E36" s="6" t="s">
        <v>119</v>
      </c>
      <c r="F36" s="7" t="n">
        <v>12</v>
      </c>
      <c r="G36" s="6" t="s">
        <v>84</v>
      </c>
      <c r="H36" s="6" t="s">
        <v>135</v>
      </c>
      <c r="I36" s="6" t="s">
        <v>26</v>
      </c>
      <c r="J36" s="6" t="s">
        <v>136</v>
      </c>
    </row>
    <row r="37" customFormat="false" ht="19.5" hidden="false" customHeight="true" outlineLevel="0" collapsed="false">
      <c r="A37" s="3" t="s">
        <v>137</v>
      </c>
      <c r="B37" s="3"/>
      <c r="C37" s="3"/>
      <c r="D37" s="3"/>
      <c r="E37" s="3"/>
      <c r="F37" s="3"/>
      <c r="G37" s="3"/>
      <c r="H37" s="3"/>
      <c r="I37" s="3"/>
      <c r="J37" s="3"/>
    </row>
    <row r="38" customFormat="false" ht="18" hidden="false" customHeight="true" outlineLevel="0" collapsed="false">
      <c r="A38" s="4" t="s">
        <v>138</v>
      </c>
      <c r="B38" s="4"/>
      <c r="C38" s="4"/>
      <c r="D38" s="4"/>
      <c r="E38" s="4"/>
      <c r="F38" s="4"/>
      <c r="G38" s="4"/>
      <c r="H38" s="4"/>
      <c r="I38" s="4"/>
      <c r="J38" s="4"/>
    </row>
    <row r="39" customFormat="false" ht="23.25" hidden="false" customHeight="true" outlineLevel="0" collapsed="false">
      <c r="A39" s="5" t="n">
        <v>28</v>
      </c>
      <c r="B39" s="6" t="s">
        <v>139</v>
      </c>
      <c r="C39" s="6" t="s">
        <v>140</v>
      </c>
      <c r="D39" s="6" t="s">
        <v>141</v>
      </c>
      <c r="E39" s="6" t="s">
        <v>139</v>
      </c>
      <c r="F39" s="7" t="n">
        <v>40</v>
      </c>
      <c r="G39" s="6" t="s">
        <v>142</v>
      </c>
      <c r="H39" s="6" t="s">
        <v>143</v>
      </c>
      <c r="I39" s="6" t="s">
        <v>26</v>
      </c>
      <c r="J39" s="6" t="s">
        <v>144</v>
      </c>
    </row>
    <row r="40" customFormat="false" ht="23.25" hidden="false" customHeight="true" outlineLevel="0" collapsed="false">
      <c r="A40" s="5" t="n">
        <v>29</v>
      </c>
      <c r="B40" s="6" t="s">
        <v>139</v>
      </c>
      <c r="C40" s="6" t="s">
        <v>145</v>
      </c>
      <c r="D40" s="6" t="s">
        <v>146</v>
      </c>
      <c r="E40" s="6" t="s">
        <v>139</v>
      </c>
      <c r="F40" s="7" t="n">
        <v>90</v>
      </c>
      <c r="G40" s="6" t="s">
        <v>142</v>
      </c>
      <c r="H40" s="6" t="s">
        <v>147</v>
      </c>
      <c r="I40" s="6" t="s">
        <v>26</v>
      </c>
      <c r="J40" s="6" t="s">
        <v>148</v>
      </c>
    </row>
    <row r="41" customFormat="false" ht="34.5" hidden="false" customHeight="true" outlineLevel="0" collapsed="false">
      <c r="A41" s="5" t="n">
        <v>30</v>
      </c>
      <c r="B41" s="6" t="s">
        <v>139</v>
      </c>
      <c r="C41" s="6" t="s">
        <v>149</v>
      </c>
      <c r="D41" s="6" t="s">
        <v>150</v>
      </c>
      <c r="E41" s="6" t="s">
        <v>139</v>
      </c>
      <c r="F41" s="7" t="n">
        <v>599</v>
      </c>
      <c r="G41" s="6" t="s">
        <v>142</v>
      </c>
      <c r="H41" s="6" t="s">
        <v>151</v>
      </c>
      <c r="I41" s="6" t="s">
        <v>152</v>
      </c>
      <c r="J41" s="6" t="s">
        <v>153</v>
      </c>
    </row>
    <row r="42" customFormat="false" ht="19.5" hidden="false" customHeight="true" outlineLevel="0" collapsed="false">
      <c r="A42" s="3" t="s">
        <v>154</v>
      </c>
      <c r="B42" s="3"/>
      <c r="C42" s="3"/>
      <c r="D42" s="3"/>
      <c r="E42" s="3"/>
      <c r="F42" s="3"/>
      <c r="G42" s="3"/>
      <c r="H42" s="3"/>
      <c r="I42" s="3"/>
      <c r="J42" s="3"/>
    </row>
    <row r="43" customFormat="false" ht="18" hidden="false" customHeight="true" outlineLevel="0" collapsed="false">
      <c r="A43" s="8" t="s">
        <v>155</v>
      </c>
      <c r="B43" s="8"/>
      <c r="C43" s="8"/>
      <c r="D43" s="8"/>
      <c r="E43" s="8"/>
      <c r="F43" s="8"/>
      <c r="G43" s="8"/>
      <c r="H43" s="8"/>
      <c r="I43" s="8"/>
      <c r="J43" s="8"/>
    </row>
    <row r="44" customFormat="false" ht="23.25" hidden="false" customHeight="true" outlineLevel="0" collapsed="false">
      <c r="A44" s="6" t="s">
        <v>156</v>
      </c>
      <c r="B44" s="6" t="s">
        <v>157</v>
      </c>
      <c r="C44" s="6" t="s">
        <v>158</v>
      </c>
      <c r="D44" s="6" t="s">
        <v>159</v>
      </c>
      <c r="E44" s="6" t="s">
        <v>157</v>
      </c>
      <c r="F44" s="7" t="n">
        <v>15</v>
      </c>
      <c r="G44" s="6" t="s">
        <v>160</v>
      </c>
      <c r="H44" s="6" t="s">
        <v>161</v>
      </c>
      <c r="I44" s="6" t="s">
        <v>162</v>
      </c>
      <c r="J44" s="6" t="s">
        <v>163</v>
      </c>
    </row>
    <row r="45" customFormat="false" ht="15" hidden="false" customHeight="true" outlineLevel="0" collapsed="false">
      <c r="A45" s="6" t="s">
        <v>164</v>
      </c>
      <c r="B45" s="6" t="s">
        <v>157</v>
      </c>
      <c r="C45" s="6" t="s">
        <v>165</v>
      </c>
      <c r="D45" s="6" t="s">
        <v>166</v>
      </c>
      <c r="E45" s="6" t="s">
        <v>157</v>
      </c>
      <c r="F45" s="7" t="n">
        <v>25</v>
      </c>
      <c r="G45" s="6" t="s">
        <v>160</v>
      </c>
      <c r="H45" s="6" t="s">
        <v>167</v>
      </c>
      <c r="I45" s="6" t="s">
        <v>168</v>
      </c>
      <c r="J45" s="6" t="s">
        <v>169</v>
      </c>
    </row>
    <row r="46" customFormat="false" ht="15" hidden="false" customHeight="true" outlineLevel="0" collapsed="false">
      <c r="A46" s="6" t="s">
        <v>170</v>
      </c>
      <c r="B46" s="6" t="s">
        <v>157</v>
      </c>
      <c r="C46" s="6" t="s">
        <v>171</v>
      </c>
      <c r="D46" s="6" t="s">
        <v>172</v>
      </c>
      <c r="E46" s="6" t="s">
        <v>157</v>
      </c>
      <c r="F46" s="7" t="n">
        <v>5</v>
      </c>
      <c r="G46" s="6" t="s">
        <v>160</v>
      </c>
      <c r="H46" s="6" t="s">
        <v>173</v>
      </c>
      <c r="I46" s="6" t="s">
        <v>168</v>
      </c>
      <c r="J46" s="6" t="s">
        <v>174</v>
      </c>
    </row>
    <row r="47" customFormat="false" ht="15" hidden="false" customHeight="true" outlineLevel="0" collapsed="false">
      <c r="A47" s="6" t="s">
        <v>175</v>
      </c>
      <c r="B47" s="6" t="s">
        <v>157</v>
      </c>
      <c r="C47" s="6" t="s">
        <v>176</v>
      </c>
      <c r="D47" s="6" t="s">
        <v>51</v>
      </c>
      <c r="E47" s="6" t="s">
        <v>157</v>
      </c>
      <c r="F47" s="7" t="n">
        <v>7</v>
      </c>
      <c r="G47" s="6" t="s">
        <v>160</v>
      </c>
      <c r="H47" s="6" t="s">
        <v>52</v>
      </c>
      <c r="I47" s="6" t="s">
        <v>26</v>
      </c>
      <c r="J47" s="6" t="s">
        <v>177</v>
      </c>
    </row>
    <row r="48" customFormat="false" ht="15" hidden="false" customHeight="true" outlineLevel="0" collapsed="false">
      <c r="A48" s="6" t="s">
        <v>178</v>
      </c>
      <c r="B48" s="6" t="s">
        <v>157</v>
      </c>
      <c r="C48" s="6" t="s">
        <v>179</v>
      </c>
      <c r="D48" s="6" t="s">
        <v>180</v>
      </c>
      <c r="E48" s="6" t="s">
        <v>157</v>
      </c>
      <c r="F48" s="7" t="n">
        <v>18</v>
      </c>
      <c r="G48" s="6" t="s">
        <v>160</v>
      </c>
      <c r="H48" s="6" t="s">
        <v>181</v>
      </c>
      <c r="I48" s="6" t="s">
        <v>26</v>
      </c>
      <c r="J48" s="6" t="s">
        <v>182</v>
      </c>
    </row>
    <row r="49" customFormat="false" ht="15" hidden="false" customHeight="true" outlineLevel="0" collapsed="false">
      <c r="A49" s="6" t="s">
        <v>183</v>
      </c>
      <c r="B49" s="6" t="s">
        <v>157</v>
      </c>
      <c r="C49" s="6" t="s">
        <v>184</v>
      </c>
      <c r="D49" s="6" t="s">
        <v>185</v>
      </c>
      <c r="E49" s="6" t="s">
        <v>157</v>
      </c>
      <c r="F49" s="7" t="n">
        <v>4</v>
      </c>
      <c r="G49" s="6" t="s">
        <v>160</v>
      </c>
      <c r="H49" s="6" t="s">
        <v>186</v>
      </c>
      <c r="I49" s="6" t="s">
        <v>26</v>
      </c>
      <c r="J49" s="6" t="s">
        <v>187</v>
      </c>
    </row>
    <row r="50" customFormat="false" ht="15" hidden="false" customHeight="true" outlineLevel="0" collapsed="false">
      <c r="A50" s="6" t="s">
        <v>188</v>
      </c>
      <c r="B50" s="6" t="s">
        <v>157</v>
      </c>
      <c r="C50" s="6" t="s">
        <v>189</v>
      </c>
      <c r="D50" s="6" t="s">
        <v>190</v>
      </c>
      <c r="E50" s="6" t="s">
        <v>157</v>
      </c>
      <c r="F50" s="7" t="n">
        <v>20</v>
      </c>
      <c r="G50" s="6" t="s">
        <v>160</v>
      </c>
      <c r="H50" s="6" t="s">
        <v>191</v>
      </c>
      <c r="I50" s="6" t="s">
        <v>26</v>
      </c>
      <c r="J50" s="6" t="s">
        <v>192</v>
      </c>
    </row>
    <row r="51" customFormat="false" ht="15" hidden="false" customHeight="true" outlineLevel="0" collapsed="false">
      <c r="A51" s="6" t="s">
        <v>193</v>
      </c>
      <c r="B51" s="6" t="s">
        <v>157</v>
      </c>
      <c r="C51" s="6" t="s">
        <v>194</v>
      </c>
      <c r="D51" s="6" t="s">
        <v>195</v>
      </c>
      <c r="E51" s="6" t="s">
        <v>157</v>
      </c>
      <c r="F51" s="7" t="n">
        <v>6</v>
      </c>
      <c r="G51" s="6" t="s">
        <v>160</v>
      </c>
      <c r="H51" s="6" t="s">
        <v>196</v>
      </c>
      <c r="I51" s="6" t="s">
        <v>26</v>
      </c>
      <c r="J51" s="6" t="s">
        <v>197</v>
      </c>
    </row>
    <row r="52" customFormat="false" ht="15" hidden="false" customHeight="true" outlineLevel="0" collapsed="false">
      <c r="A52" s="6" t="s">
        <v>198</v>
      </c>
      <c r="B52" s="6" t="s">
        <v>157</v>
      </c>
      <c r="C52" s="6" t="s">
        <v>199</v>
      </c>
      <c r="D52" s="6" t="s">
        <v>200</v>
      </c>
      <c r="E52" s="6" t="s">
        <v>157</v>
      </c>
      <c r="F52" s="7" t="n">
        <v>15</v>
      </c>
      <c r="G52" s="6" t="s">
        <v>160</v>
      </c>
      <c r="H52" s="6" t="s">
        <v>201</v>
      </c>
      <c r="I52" s="6" t="s">
        <v>26</v>
      </c>
      <c r="J52" s="6" t="s">
        <v>202</v>
      </c>
    </row>
    <row r="53" customFormat="false" ht="15" hidden="false" customHeight="true" outlineLevel="0" collapsed="false">
      <c r="A53" s="6" t="s">
        <v>203</v>
      </c>
      <c r="B53" s="6" t="s">
        <v>157</v>
      </c>
      <c r="C53" s="6" t="s">
        <v>204</v>
      </c>
      <c r="D53" s="6" t="s">
        <v>205</v>
      </c>
      <c r="E53" s="6" t="s">
        <v>157</v>
      </c>
      <c r="F53" s="7" t="n">
        <v>4</v>
      </c>
      <c r="G53" s="6" t="s">
        <v>160</v>
      </c>
      <c r="H53" s="6" t="s">
        <v>206</v>
      </c>
      <c r="I53" s="6" t="s">
        <v>26</v>
      </c>
      <c r="J53" s="6" t="s">
        <v>207</v>
      </c>
    </row>
    <row r="54" customFormat="false" ht="15" hidden="false" customHeight="true" outlineLevel="0" collapsed="false">
      <c r="A54" s="6" t="s">
        <v>208</v>
      </c>
      <c r="B54" s="6" t="s">
        <v>157</v>
      </c>
      <c r="C54" s="6" t="s">
        <v>209</v>
      </c>
      <c r="D54" s="6" t="s">
        <v>210</v>
      </c>
      <c r="E54" s="6" t="s">
        <v>157</v>
      </c>
      <c r="F54" s="7" t="n">
        <v>35</v>
      </c>
      <c r="G54" s="6" t="s">
        <v>160</v>
      </c>
      <c r="H54" s="6" t="s">
        <v>211</v>
      </c>
      <c r="I54" s="6" t="s">
        <v>168</v>
      </c>
      <c r="J54" s="6" t="s">
        <v>212</v>
      </c>
    </row>
    <row r="55" customFormat="false" ht="21.75" hidden="false" customHeight="true" outlineLevel="0" collapsed="false">
      <c r="A55" s="9" t="s">
        <v>213</v>
      </c>
      <c r="B55" s="9"/>
      <c r="C55" s="9"/>
      <c r="D55" s="9"/>
      <c r="E55" s="9"/>
      <c r="F55" s="9"/>
      <c r="G55" s="9"/>
      <c r="H55" s="9"/>
      <c r="I55" s="9"/>
      <c r="J55" s="9"/>
    </row>
    <row r="56" customFormat="false" ht="15" hidden="false" customHeight="true" outlineLevel="0" collapsed="false">
      <c r="A56" s="10" t="s">
        <v>214</v>
      </c>
      <c r="B56" s="10"/>
      <c r="C56" s="10"/>
      <c r="D56" s="10"/>
      <c r="E56" s="10"/>
      <c r="F56" s="11" t="n">
        <f aca="false">SUM(F4:F16)</f>
        <v>169</v>
      </c>
      <c r="G56" s="12" t="s">
        <v>215</v>
      </c>
      <c r="H56" s="12"/>
      <c r="I56" s="12"/>
      <c r="J56" s="12"/>
    </row>
    <row r="57" customFormat="false" ht="15" hidden="false" customHeight="true" outlineLevel="0" collapsed="false">
      <c r="A57" s="10" t="s">
        <v>216</v>
      </c>
      <c r="B57" s="10"/>
      <c r="C57" s="10"/>
      <c r="D57" s="10"/>
      <c r="E57" s="10"/>
      <c r="F57" s="11" t="n">
        <f aca="false">SUM(F18:F22)</f>
        <v>335</v>
      </c>
      <c r="G57" s="12" t="s">
        <v>217</v>
      </c>
      <c r="H57" s="12"/>
      <c r="I57" s="12"/>
      <c r="J57" s="12"/>
    </row>
    <row r="58" customFormat="false" ht="15" hidden="false" customHeight="true" outlineLevel="0" collapsed="false">
      <c r="A58" s="10" t="s">
        <v>218</v>
      </c>
      <c r="B58" s="10"/>
      <c r="C58" s="10"/>
      <c r="D58" s="10"/>
      <c r="E58" s="10"/>
      <c r="F58" s="11" t="n">
        <f aca="false">SUM(F25:F27)</f>
        <v>97</v>
      </c>
      <c r="G58" s="12" t="s">
        <v>219</v>
      </c>
      <c r="H58" s="12"/>
      <c r="I58" s="12"/>
      <c r="J58" s="12"/>
    </row>
    <row r="59" customFormat="false" ht="15" hidden="false" customHeight="true" outlineLevel="0" collapsed="false">
      <c r="A59" s="10" t="s">
        <v>220</v>
      </c>
      <c r="B59" s="10"/>
      <c r="C59" s="10"/>
      <c r="D59" s="10"/>
      <c r="E59" s="10"/>
      <c r="F59" s="11" t="n">
        <f aca="false">SUM(F29:F29)</f>
        <v>15</v>
      </c>
      <c r="G59" s="12" t="s">
        <v>221</v>
      </c>
      <c r="H59" s="12"/>
      <c r="I59" s="12"/>
      <c r="J59" s="12"/>
    </row>
    <row r="60" customFormat="false" ht="15" hidden="false" customHeight="true" outlineLevel="0" collapsed="false">
      <c r="A60" s="10" t="s">
        <v>222</v>
      </c>
      <c r="B60" s="10"/>
      <c r="C60" s="10"/>
      <c r="D60" s="10"/>
      <c r="E60" s="10"/>
      <c r="F60" s="11" t="n">
        <f aca="false">SUM(F32:F36)</f>
        <v>1178</v>
      </c>
      <c r="G60" s="12" t="s">
        <v>223</v>
      </c>
      <c r="H60" s="12"/>
      <c r="I60" s="12"/>
      <c r="J60" s="12"/>
    </row>
    <row r="61" customFormat="false" ht="15" hidden="false" customHeight="true" outlineLevel="0" collapsed="false">
      <c r="A61" s="10" t="s">
        <v>224</v>
      </c>
      <c r="B61" s="10"/>
      <c r="C61" s="10"/>
      <c r="D61" s="10"/>
      <c r="E61" s="10"/>
      <c r="F61" s="11" t="n">
        <f aca="false">SUM(F39:F41)</f>
        <v>729</v>
      </c>
      <c r="G61" s="12" t="s">
        <v>225</v>
      </c>
      <c r="H61" s="12"/>
      <c r="I61" s="12"/>
      <c r="J61" s="12"/>
    </row>
    <row r="62" customFormat="false" ht="15" hidden="false" customHeight="true" outlineLevel="0" collapsed="false">
      <c r="A62" s="10" t="s">
        <v>226</v>
      </c>
      <c r="B62" s="10"/>
      <c r="C62" s="10"/>
      <c r="D62" s="10"/>
      <c r="E62" s="10"/>
      <c r="F62" s="11" t="n">
        <f aca="false">SUM(F44:F54)</f>
        <v>154</v>
      </c>
      <c r="G62" s="12" t="s">
        <v>227</v>
      </c>
      <c r="H62" s="12"/>
      <c r="I62" s="12"/>
      <c r="J62" s="12"/>
    </row>
    <row r="63" customFormat="false" ht="21.75" hidden="false" customHeight="true" outlineLevel="0" collapsed="false">
      <c r="A63" s="13" t="s">
        <v>228</v>
      </c>
      <c r="B63" s="13"/>
      <c r="C63" s="13"/>
      <c r="D63" s="13"/>
      <c r="E63" s="13"/>
      <c r="F63" s="14" t="n">
        <f aca="false">F56+F57+F58+F59+F60</f>
        <v>1794</v>
      </c>
      <c r="G63" s="15" t="s">
        <v>229</v>
      </c>
      <c r="H63" s="15"/>
      <c r="I63" s="15"/>
      <c r="J63" s="15"/>
    </row>
    <row r="64" customFormat="false" ht="15" hidden="false" customHeight="true" outlineLevel="0" collapsed="false">
      <c r="A64" s="10" t="s">
        <v>230</v>
      </c>
      <c r="B64" s="10"/>
      <c r="C64" s="10"/>
      <c r="D64" s="10"/>
      <c r="E64" s="10"/>
      <c r="F64" s="11" t="n">
        <f aca="false">F56+F57+F58+F59+F60+F61</f>
        <v>2523</v>
      </c>
    </row>
  </sheetData>
  <mergeCells count="30">
    <mergeCell ref="A2:J2"/>
    <mergeCell ref="A3:J3"/>
    <mergeCell ref="A17:J17"/>
    <mergeCell ref="A23:J23"/>
    <mergeCell ref="A24:J24"/>
    <mergeCell ref="A28:J28"/>
    <mergeCell ref="A30:J30"/>
    <mergeCell ref="A31:J31"/>
    <mergeCell ref="A37:J37"/>
    <mergeCell ref="A38:J38"/>
    <mergeCell ref="A42:J42"/>
    <mergeCell ref="A43:J43"/>
    <mergeCell ref="A55:J55"/>
    <mergeCell ref="A56:E56"/>
    <mergeCell ref="G56:J56"/>
    <mergeCell ref="A57:E57"/>
    <mergeCell ref="G57:J57"/>
    <mergeCell ref="A58:E58"/>
    <mergeCell ref="G58:J58"/>
    <mergeCell ref="A59:E59"/>
    <mergeCell ref="G59:J59"/>
    <mergeCell ref="A60:E60"/>
    <mergeCell ref="G60:J60"/>
    <mergeCell ref="A61:E61"/>
    <mergeCell ref="G61:J61"/>
    <mergeCell ref="A62:E62"/>
    <mergeCell ref="G62:J62"/>
    <mergeCell ref="A63:E63"/>
    <mergeCell ref="G63:J63"/>
    <mergeCell ref="A64:E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2026-04-05T18:47:09Z</dcterms:created>
  <dc:creator>openpyxl</dc:creator>
  <dc:description/>
  <dc:language>en-US</dc:language>
  <cp:lastModifiedBy/>
  <dcterms:modified xsi:type="dcterms:W3CDTF">2026-04-05T15:22:58Z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